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Assumptions" sheetId="1" r:id="rId1"/>
    <sheet name="Forecast" sheetId="2" r:id="rId2"/>
  </sheets>
  <calcPr fullCalcOnLoad="1" forceFullCalc="1" calcMode="auto" fullPrecision="1"/>
</workbook>
</file>

<file path=xl/styles.xml><?xml version="1.0" encoding="utf-8"?>
<styleSheet xmlns="http://schemas.openxmlformats.org/spreadsheetml/2006/main">
  <numFmts count="2">
    <numFmt numFmtId="165" formatCode="$#,##0.00;[Red]($#,##0.00)"/>
    <numFmt numFmtId="166" formatCode="0.00"/>
  </numFmts>
  <fonts count="3"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/>
    <xf numFmtId="165" fontId="1" fillId="0" borderId="0" xfId="0" applyNumberFormat="1" applyFont="1" applyFill="1"/>
    <xf numFmtId="166" fontId="2" fillId="0" borderId="0" xfId="0" applyNumberFormat="1" applyFont="1" applyFill="1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styles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Data>
    <row r="1">
      <c r="A1" s="0" t="inlineStr">
        <is>
          <t xml:space="preserve">Unit price</t>
        </is>
      </c>
      <c r="B1" s="1">
        <v>20</v>
      </c>
      <c r="C1" s="0" t="b">
        <v>1</v>
      </c>
    </row>
    <row r="2">
      <c r="A2" s="0" t="inlineStr">
        <is>
          <t xml:space="preserve">Unit variable cost</t>
        </is>
      </c>
      <c r="B2" s="1">
        <v>8</v>
      </c>
    </row>
    <row r="3">
      <c r="A3" s="0" t="inlineStr">
        <is>
          <t xml:space="preserve">Fixed cost per period</t>
        </is>
      </c>
      <c r="B3" s="1">
        <v>1000</v>
      </c>
      <c r="C3" s="0" t="e">
        <v>#REF!</v>
      </c>
    </row>
  </sheetData>
</worksheet>
</file>

<file path=xl/worksheets/sheet2.xml><?xml version="1.0" encoding="utf-8"?>
<worksheet xmlns="http://schemas.openxmlformats.org/spreadsheetml/2006/main">
  <sheetData>
    <row r="1">
      <c r="A1" s="0" t="inlineStr">
        <is>
          <t xml:space="preserve">Period</t>
        </is>
      </c>
      <c r="B1" s="0" t="inlineStr">
        <is>
          <t xml:space="preserve">Quantity</t>
        </is>
      </c>
      <c r="C1" s="0" t="inlineStr">
        <is>
          <t xml:space="preserve">Revenue</t>
        </is>
      </c>
      <c r="D1" s="0" t="inlineStr">
        <is>
          <t xml:space="preserve">Variable costs</t>
        </is>
      </c>
      <c r="E1" s="0" t="inlineStr">
        <is>
          <t xml:space="preserve">Profit</t>
        </is>
      </c>
      <c r="F1" s="0" t="inlineStr">
        <is>
          <t xml:space="preserve">Summary outputs</t>
        </is>
      </c>
      <c r="J1" s="0">
        <f>NOW()</f>
      </c>
    </row>
    <row r="2">
      <c r="A2" s="0" t="inlineStr">
        <is>
          <t xml:space="preserve">Period 1</t>
        </is>
      </c>
      <c r="B2" s="0">
        <v>100</v>
      </c>
      <c r="C2" s="1" t="n">
        <f>B2*Assumptions!$B$1</f>
        <v>2000.0</v>
      </c>
      <c r="D2" s="1" t="n">
        <f>B2*Assumptions!$B$2</f>
        <v>800.0</v>
      </c>
      <c r="E2" s="1" t="n">
        <f>C2-D2-Assumptions!$B$3</f>
        <v>200.0</v>
      </c>
      <c r="F2" s="1" t="n">
        <f>SUM(C2:C4)</f>
        <v>7400.0</v>
      </c>
      <c r="G2" s="0" t="inlineStr">
        <is>
          <t xml:space="preserve">Total revenue</t>
        </is>
      </c>
      <c r="J2" s="0">
        <f>1+</f>
      </c>
    </row>
    <row r="3">
      <c r="A3" s="0" t="inlineStr">
        <is>
          <t xml:space="preserve">Period 2</t>
        </is>
      </c>
      <c r="B3" s="0">
        <v>120</v>
      </c>
      <c r="C3" s="1" t="n">
        <f>B3*Assumptions!$B$1</f>
        <v>2400.0</v>
      </c>
      <c r="D3" s="1" t="n">
        <f>B3*Assumptions!$B$2</f>
        <v>960.0</v>
      </c>
      <c r="E3" s="1" t="n">
        <f>C3-D3-Assumptions!$B$3</f>
        <v>440.0</v>
      </c>
      <c r="F3" s="1" t="n">
        <f>SUM(E2:E4)</f>
        <v>1440.0</v>
      </c>
      <c r="G3" s="0" t="inlineStr">
        <is>
          <t xml:space="preserve">Total profit</t>
        </is>
      </c>
    </row>
    <row r="4">
      <c r="A4" s="0" t="inlineStr">
        <is>
          <t xml:space="preserve">Period 3</t>
        </is>
      </c>
      <c r="B4" s="0">
        <v>150</v>
      </c>
      <c r="C4" s="1" t="n">
        <f>B4*Assumptions!$B$1</f>
        <v>3000.0</v>
      </c>
      <c r="D4" s="1" t="n">
        <f>B4*Assumptions!$B$2</f>
        <v>1200.0</v>
      </c>
      <c r="E4" s="1" t="n">
        <f>C4-D4-Assumptions!$B$3</f>
        <v>800.0</v>
      </c>
      <c r="F4" s="2" t="n">
        <f>IF(Assumptions!B1&gt;Assumptions!B2,Assumptions!B3/(Assumptions!B1-Assumptions!B2),NA())</f>
        <v>83.33333333333333</v>
      </c>
      <c r="G4" s="0" t="inlineStr">
        <is>
          <t xml:space="preserve">Break-even units per period</t>
        </is>
      </c>
    </row>
    <row r="5">
      <c r="F5" s="0" t="e">
        <f>1/0</f>
        <v>#DIV/0!</v>
      </c>
    </row>
  </sheetData>
</worksheet>
</file>